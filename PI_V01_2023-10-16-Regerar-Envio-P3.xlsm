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filterPrivacy="1" codeName="EstaPasta_de_trabalho" defaultThemeVersion="124226"/>
  <xr:revisionPtr revIDLastSave="31" documentId="13_ncr:1_{B9B5B482-F6DD-419D-A3E0-B4F21D2C4664}" xr6:coauthVersionLast="47" xr6:coauthVersionMax="47" xr10:uidLastSave="{62D94229-D404-4522-A497-87C83B1BBC12}"/>
  <bookViews>
    <workbookView xWindow="75" yWindow="75" windowWidth="19080" windowHeight="15450" activeTab="1" xr2:uid="{00000000-000D-0000-FFFF-FFFF00000000}"/>
  </bookViews>
  <sheets>
    <sheet name="Matriz de Responsabilidade" sheetId="1" r:id="rId1"/>
    <sheet name="Produção" sheetId="3" r:id="rId2"/>
    <sheet name="Domínios" sheetId="4" state="hidden" r:id="rId3"/>
  </sheets>
  <definedNames>
    <definedName name="ACAO">Domínios!$A$2:$A$16</definedName>
    <definedName name="RESPONSABILIDADE">Domínios!$E$2:$E$8</definedName>
    <definedName name="RESPONSAVEL">Domínios!$B$2:$B$11</definedName>
    <definedName name="SEVERIDADE">Domínios!$D$2:$D$4</definedName>
    <definedName name="TIPO_DEMANDA">Domínios!$C$2:$C$5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2" i="3" l="1"/>
  <c r="A23" i="3"/>
  <c r="A27" i="3"/>
  <c r="C30" i="3"/>
  <c r="C29" i="3"/>
  <c r="B8" i="3" l="1"/>
  <c r="B4" i="3"/>
  <c r="B7" i="3"/>
  <c r="B6" i="3"/>
  <c r="B9" i="3"/>
  <c r="B5" i="3"/>
  <c r="C31" i="3" l="1"/>
</calcChain>
</file>

<file path=xl/sharedStrings.xml><?xml version="1.0" encoding="utf-8"?>
<sst xmlns="http://schemas.openxmlformats.org/spreadsheetml/2006/main" count="133" uniqueCount="82">
  <si>
    <t>Matriz de Responsabilidade</t>
  </si>
  <si>
    <t>Versão 2.6</t>
  </si>
  <si>
    <t>03/05/2013</t>
  </si>
  <si>
    <t>Informações sobre a Mudança</t>
  </si>
  <si>
    <t>Nome</t>
  </si>
  <si>
    <t>Sistema</t>
  </si>
  <si>
    <t>Executavel</t>
  </si>
  <si>
    <t>Severidade</t>
  </si>
  <si>
    <t>Baixa</t>
  </si>
  <si>
    <t>Descrição</t>
  </si>
  <si>
    <t>Objetivo</t>
  </si>
  <si>
    <t>Tipo Demanda</t>
  </si>
  <si>
    <t>Implementação de versão</t>
  </si>
  <si>
    <t>Change</t>
  </si>
  <si>
    <t>N-C01928742</t>
  </si>
  <si>
    <t>Contatos</t>
  </si>
  <si>
    <t>Grupo</t>
  </si>
  <si>
    <t>Contato</t>
  </si>
  <si>
    <t>Responsabilidade</t>
  </si>
  <si>
    <t>Responsável pela Implantação</t>
  </si>
  <si>
    <r>
      <rPr>
        <b/>
        <sz val="10"/>
        <color rgb="FF000000"/>
        <rFont val="Franklin Gothic Book"/>
      </rPr>
      <t xml:space="preserve">Ailton Loures
</t>
    </r>
    <r>
      <rPr>
        <sz val="10"/>
        <color rgb="FF000000"/>
        <rFont val="Franklin Gothic Book"/>
      </rPr>
      <t>ailton.ferreira@stoneage.com.br</t>
    </r>
  </si>
  <si>
    <t>Contato de 1º Nível</t>
  </si>
  <si>
    <r>
      <rPr>
        <b/>
        <sz val="10"/>
        <color indexed="8"/>
        <rFont val="Franklin Gothic Book"/>
        <family val="2"/>
      </rPr>
      <t>Michele Chagas</t>
    </r>
    <r>
      <rPr>
        <sz val="10"/>
        <color indexed="8"/>
        <rFont val="Franklin Gothic Book"/>
        <family val="2"/>
      </rPr>
      <t xml:space="preserve">
michele.chagas@stoneage.com.br</t>
    </r>
  </si>
  <si>
    <t>Contato de 2º Nível</t>
  </si>
  <si>
    <t>Coord. Desenvolvimento</t>
  </si>
  <si>
    <r>
      <rPr>
        <b/>
        <sz val="10"/>
        <color indexed="8"/>
        <rFont val="Franklin Gothic Book"/>
        <family val="2"/>
      </rPr>
      <t>Eduardo Kling Mesiano</t>
    </r>
    <r>
      <rPr>
        <sz val="10"/>
        <color indexed="8"/>
        <rFont val="Franklin Gothic Book"/>
        <family val="2"/>
      </rPr>
      <t xml:space="preserve">
eduardo.mesiano@stoneage.com.br</t>
    </r>
  </si>
  <si>
    <t>Contato de 3º Nível</t>
  </si>
  <si>
    <t>Plano de Implantação em Produção</t>
  </si>
  <si>
    <t>Pontos de Atenção</t>
  </si>
  <si>
    <t>Não há</t>
  </si>
  <si>
    <t>Pré-Requisitos</t>
  </si>
  <si>
    <t>Data</t>
  </si>
  <si>
    <t>Hora</t>
  </si>
  <si>
    <t>Tempo</t>
  </si>
  <si>
    <t>Atividade</t>
  </si>
  <si>
    <t>Ambiente</t>
  </si>
  <si>
    <t>Responsável</t>
  </si>
  <si>
    <t>Não Há</t>
  </si>
  <si>
    <t>Implantação</t>
  </si>
  <si>
    <t>Ação</t>
  </si>
  <si>
    <t>Banco - Backup</t>
  </si>
  <si>
    <t>Equipe DBA</t>
  </si>
  <si>
    <t>Motor - Backup Scripts</t>
  </si>
  <si>
    <t>SQL - Execução de Script</t>
  </si>
  <si>
    <t>Instalação</t>
  </si>
  <si>
    <t>Execução de Procedimento</t>
  </si>
  <si>
    <t>FallBack</t>
  </si>
  <si>
    <t>Site</t>
  </si>
  <si>
    <t>Banco - Restore</t>
  </si>
  <si>
    <t>Motor - Restore Scripts</t>
  </si>
  <si>
    <t>Fim</t>
  </si>
  <si>
    <t>Duração Implantação</t>
  </si>
  <si>
    <t>Duração Fallback</t>
  </si>
  <si>
    <t>Duração Total</t>
  </si>
  <si>
    <t>Alta</t>
  </si>
  <si>
    <t>-</t>
  </si>
  <si>
    <t>Comunicação via email</t>
  </si>
  <si>
    <t>Correção de situação problema</t>
  </si>
  <si>
    <t>-----</t>
  </si>
  <si>
    <t>Instalação de nova funcionalidade</t>
  </si>
  <si>
    <t>Media</t>
  </si>
  <si>
    <t>Configuração e Testes</t>
  </si>
  <si>
    <t>Coordenador Time Função</t>
  </si>
  <si>
    <t>Remediação de situação problema</t>
  </si>
  <si>
    <t>Coordenador de Implantação</t>
  </si>
  <si>
    <t>Equipe Web</t>
  </si>
  <si>
    <t>Gerente TI-Emprestimos</t>
  </si>
  <si>
    <t>Plano de Implantação</t>
  </si>
  <si>
    <t>Analista/Usuário Responsável</t>
  </si>
  <si>
    <t>Contato Telefônico</t>
  </si>
  <si>
    <t>Sobreaviso</t>
  </si>
  <si>
    <t>Cópia de Arquivo</t>
  </si>
  <si>
    <t>Coordenador da Mudança</t>
  </si>
  <si>
    <t>Notificação via telefone</t>
  </si>
  <si>
    <t>SQL - Backup</t>
  </si>
  <si>
    <t>SQL - DTS</t>
  </si>
  <si>
    <t>Configuração da scheduler para relatório da Access</t>
  </si>
  <si>
    <t>SPOS1242</t>
  </si>
  <si>
    <t xml:space="preserve">Instalação do NodeJs v16.20. Arquivo node-v16.20.2-x64 </t>
  </si>
  <si>
    <t xml:space="preserve">Desinstalação do NodeJs v16.20. Arquivo node-v16.20.2-x64 </t>
  </si>
  <si>
    <t>Criar task scheduler com nome de StoneAge - Reenvio Access, e as seguintes configurações: Disparador - Semanal (Segunda à Sexta), Iniciar em 17/10/2023, às 9:00:00. Ações - Adicionar script-reenvio.bat localizado na pasta configurada</t>
  </si>
  <si>
    <t>Adicionar e descompactar pasta regerar-envio-p3 em drive D:/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</si>
</sst>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[h]:mm:ss;@"/>
  </numFmts>
  <fonts count="2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name val="Calibri"/>
      <family val="2"/>
    </font>
    <font>
      <sz val="10"/>
      <color indexed="8"/>
      <name val="Franklin Gothic Book"/>
      <family val="2"/>
    </font>
    <font>
      <b/>
      <sz val="10"/>
      <color indexed="8"/>
      <name val="Franklin Gothic Book"/>
      <family val="2"/>
    </font>
    <font>
      <b/>
      <sz val="16"/>
      <color indexed="8"/>
      <name val="Franklin Gothic Book"/>
      <family val="2"/>
    </font>
    <font>
      <b/>
      <sz val="11"/>
      <color indexed="8"/>
      <name val="Franklin Gothic Book"/>
      <family val="2"/>
    </font>
    <font>
      <sz val="11"/>
      <color indexed="8"/>
      <name val="Franklin Gothic Book"/>
      <family val="2"/>
    </font>
    <font>
      <sz val="9"/>
      <color indexed="8"/>
      <name val="Franklin Gothic Book"/>
      <family val="2"/>
    </font>
    <font>
      <b/>
      <sz val="14"/>
      <color indexed="8"/>
      <name val="Franklin Gothic Book"/>
      <family val="2"/>
    </font>
    <font>
      <b/>
      <sz val="12"/>
      <color indexed="8"/>
      <name val="Franklin Gothic Book"/>
      <family val="2"/>
    </font>
    <font>
      <b/>
      <sz val="9"/>
      <color indexed="8"/>
      <name val="Franklin Gothic Book"/>
      <family val="2"/>
    </font>
    <font>
      <sz val="10"/>
      <name val="Franklin Gothic Book"/>
      <family val="2"/>
    </font>
    <font>
      <sz val="10"/>
      <color theme="1"/>
      <name val="Franklin Gothic Book"/>
      <family val="2"/>
    </font>
    <font>
      <sz val="11"/>
      <color theme="1"/>
      <name val="Franklin Gothic Book"/>
      <family val="2"/>
    </font>
    <font>
      <sz val="8"/>
      <color theme="1"/>
      <name val="Franklin Gothic Book"/>
      <family val="2"/>
    </font>
    <font>
      <b/>
      <sz val="11"/>
      <color theme="1"/>
      <name val="Calibri"/>
      <family val="2"/>
      <scheme val="minor"/>
    </font>
    <font>
      <sz val="10"/>
      <color rgb="FF000000"/>
      <name val="Franklin Gothic Book"/>
      <family val="2"/>
    </font>
    <font>
      <b/>
      <sz val="10"/>
      <color theme="1"/>
      <name val="Franklin Gothic Book"/>
      <family val="2"/>
    </font>
    <font>
      <b/>
      <sz val="14"/>
      <color theme="6" tint="0.79998168889431442"/>
      <name val="Franklin Gothic Book"/>
      <family val="2"/>
    </font>
    <font>
      <b/>
      <sz val="10"/>
      <color rgb="FFFF0000"/>
      <name val="Franklin Gothic Book"/>
      <family val="2"/>
    </font>
    <font>
      <b/>
      <sz val="14"/>
      <color rgb="FFFF0000"/>
      <name val="Franklin Gothic Book"/>
      <family val="2"/>
    </font>
    <font>
      <b/>
      <sz val="12"/>
      <color theme="0"/>
      <name val="Franklin Gothic Medium Cond"/>
      <family val="2"/>
    </font>
    <font>
      <b/>
      <sz val="14"/>
      <color theme="0"/>
      <name val="Franklin Gothic Book"/>
      <family val="2"/>
    </font>
    <font>
      <b/>
      <sz val="10"/>
      <color rgb="FF000000"/>
      <name val="Franklin Gothic Book"/>
    </font>
    <font>
      <sz val="10"/>
      <color rgb="FF000000"/>
      <name val="Franklin Gothic Book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49998474074526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1" fillId="0" borderId="2" xfId="0" applyFont="1" applyBorder="1" applyAlignment="1">
      <alignment vertical="center"/>
    </xf>
    <xf numFmtId="0" fontId="11" fillId="0" borderId="1" xfId="0" applyFont="1" applyBorder="1" applyAlignment="1">
      <alignment vertical="center"/>
    </xf>
    <xf numFmtId="14" fontId="15" fillId="3" borderId="3" xfId="0" quotePrefix="1" applyNumberFormat="1" applyFont="1" applyFill="1" applyBorder="1" applyAlignment="1">
      <alignment horizontal="righ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3" fillId="3" borderId="1" xfId="0" applyFont="1" applyFill="1" applyBorder="1" applyAlignment="1">
      <alignment horizontal="center" vertical="center" wrapText="1"/>
    </xf>
    <xf numFmtId="0" fontId="16" fillId="0" borderId="0" xfId="0" applyFont="1"/>
    <xf numFmtId="0" fontId="4" fillId="0" borderId="4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 vertical="center"/>
    </xf>
    <xf numFmtId="0" fontId="13" fillId="0" borderId="5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8" fillId="4" borderId="1" xfId="0" applyFont="1" applyFill="1" applyBorder="1" applyAlignment="1">
      <alignment vertical="center"/>
    </xf>
    <xf numFmtId="0" fontId="13" fillId="0" borderId="0" xfId="0" quotePrefix="1" applyFont="1" applyAlignment="1">
      <alignment vertical="center"/>
    </xf>
    <xf numFmtId="0" fontId="13" fillId="0" borderId="1" xfId="0" quotePrefix="1" applyFont="1" applyBorder="1" applyAlignment="1">
      <alignment vertical="center"/>
    </xf>
    <xf numFmtId="0" fontId="3" fillId="0" borderId="6" xfId="0" applyFont="1" applyBorder="1" applyAlignment="1">
      <alignment horizontal="left" vertical="center" wrapText="1"/>
    </xf>
    <xf numFmtId="0" fontId="25" fillId="3" borderId="1" xfId="0" applyFont="1" applyFill="1" applyBorder="1" applyAlignment="1">
      <alignment horizontal="center" vertical="center" wrapText="1"/>
    </xf>
    <xf numFmtId="14" fontId="8" fillId="0" borderId="1" xfId="0" applyNumberFormat="1" applyFont="1" applyBorder="1" applyAlignment="1">
      <alignment horizontal="left" vertical="center" wrapText="1"/>
    </xf>
    <xf numFmtId="0" fontId="7" fillId="0" borderId="0" xfId="0" applyFont="1" applyAlignment="1">
      <alignment horizontal="center" vertical="center" wrapText="1"/>
    </xf>
    <xf numFmtId="49" fontId="1" fillId="0" borderId="6" xfId="0" applyNumberFormat="1" applyFont="1" applyBorder="1" applyAlignment="1">
      <alignment horizontal="left" vertical="center" wrapText="1"/>
    </xf>
    <xf numFmtId="49" fontId="1" fillId="0" borderId="7" xfId="0" applyNumberFormat="1" applyFont="1" applyBorder="1" applyAlignment="1">
      <alignment horizontal="left" vertical="center" wrapText="1"/>
    </xf>
    <xf numFmtId="49" fontId="1" fillId="0" borderId="5" xfId="0" applyNumberFormat="1" applyFont="1" applyBorder="1" applyAlignment="1">
      <alignment horizontal="left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2" fillId="3" borderId="5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19" fillId="5" borderId="8" xfId="0" applyFont="1" applyFill="1" applyBorder="1" applyAlignment="1">
      <alignment horizontal="center" vertical="center"/>
    </xf>
    <xf numFmtId="0" fontId="19" fillId="5" borderId="9" xfId="0" applyFont="1" applyFill="1" applyBorder="1" applyAlignment="1">
      <alignment horizontal="center" vertical="center"/>
    </xf>
    <xf numFmtId="0" fontId="19" fillId="5" borderId="10" xfId="0" applyFont="1" applyFill="1" applyBorder="1" applyAlignment="1">
      <alignment horizontal="center" vertical="center"/>
    </xf>
    <xf numFmtId="49" fontId="1" fillId="0" borderId="11" xfId="0" applyNumberFormat="1" applyFont="1" applyBorder="1" applyAlignment="1">
      <alignment horizontal="left" vertical="center" wrapText="1"/>
    </xf>
    <xf numFmtId="49" fontId="1" fillId="0" borderId="12" xfId="0" applyNumberFormat="1" applyFont="1" applyBorder="1" applyAlignment="1">
      <alignment horizontal="left" vertical="center" wrapText="1"/>
    </xf>
    <xf numFmtId="49" fontId="1" fillId="0" borderId="13" xfId="0" applyNumberFormat="1" applyFont="1" applyBorder="1" applyAlignment="1">
      <alignment horizontal="left" vertical="center" wrapText="1"/>
    </xf>
    <xf numFmtId="0" fontId="6" fillId="0" borderId="14" xfId="0" applyFont="1" applyBorder="1" applyAlignment="1">
      <alignment horizontal="center" vertical="center"/>
    </xf>
    <xf numFmtId="0" fontId="15" fillId="3" borderId="3" xfId="0" applyFont="1" applyFill="1" applyBorder="1" applyAlignment="1">
      <alignment horizontal="left" vertical="center"/>
    </xf>
    <xf numFmtId="49" fontId="3" fillId="0" borderId="6" xfId="0" applyNumberFormat="1" applyFont="1" applyBorder="1" applyAlignment="1">
      <alignment horizontal="left" vertical="center" wrapText="1"/>
    </xf>
    <xf numFmtId="0" fontId="13" fillId="0" borderId="7" xfId="0" applyFont="1" applyBorder="1" applyAlignment="1">
      <alignment horizontal="left"/>
    </xf>
    <xf numFmtId="0" fontId="13" fillId="0" borderId="5" xfId="0" applyFont="1" applyBorder="1" applyAlignment="1">
      <alignment horizontal="left"/>
    </xf>
    <xf numFmtId="0" fontId="13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vertical="center"/>
    </xf>
    <xf numFmtId="49" fontId="3" fillId="0" borderId="1" xfId="0" applyNumberFormat="1" applyFont="1" applyBorder="1" applyAlignment="1">
      <alignment vertical="center"/>
    </xf>
    <xf numFmtId="49" fontId="3" fillId="0" borderId="6" xfId="0" applyNumberFormat="1" applyFont="1" applyBorder="1" applyAlignment="1">
      <alignment vertical="center" wrapText="1"/>
    </xf>
    <xf numFmtId="49" fontId="3" fillId="0" borderId="7" xfId="0" applyNumberFormat="1" applyFont="1" applyBorder="1" applyAlignment="1">
      <alignment vertical="center" wrapText="1"/>
    </xf>
    <xf numFmtId="49" fontId="3" fillId="0" borderId="5" xfId="0" applyNumberFormat="1" applyFont="1" applyBorder="1" applyAlignment="1">
      <alignment vertical="center" wrapText="1"/>
    </xf>
    <xf numFmtId="0" fontId="8" fillId="0" borderId="6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left" vertical="center" wrapText="1"/>
    </xf>
    <xf numFmtId="0" fontId="20" fillId="0" borderId="11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13" fillId="0" borderId="0" xfId="0" applyFont="1" applyAlignment="1">
      <alignment horizontal="left" vertical="center"/>
    </xf>
    <xf numFmtId="0" fontId="4" fillId="0" borderId="11" xfId="0" applyFont="1" applyBorder="1" applyAlignment="1">
      <alignment horizontal="center" vertical="center"/>
    </xf>
    <xf numFmtId="0" fontId="13" fillId="0" borderId="12" xfId="0" applyFont="1" applyBorder="1"/>
    <xf numFmtId="0" fontId="21" fillId="5" borderId="8" xfId="0" applyFont="1" applyFill="1" applyBorder="1" applyAlignment="1">
      <alignment horizontal="center" vertical="center"/>
    </xf>
    <xf numFmtId="0" fontId="21" fillId="5" borderId="9" xfId="0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left" vertical="center" wrapText="1"/>
    </xf>
    <xf numFmtId="0" fontId="22" fillId="5" borderId="10" xfId="0" applyFont="1" applyFill="1" applyBorder="1" applyAlignment="1">
      <alignment horizontal="left" vertical="center" wrapText="1"/>
    </xf>
    <xf numFmtId="165" fontId="22" fillId="5" borderId="8" xfId="0" applyNumberFormat="1" applyFont="1" applyFill="1" applyBorder="1" applyAlignment="1">
      <alignment horizontal="center" vertical="center" wrapText="1"/>
    </xf>
    <xf numFmtId="165" fontId="22" fillId="5" borderId="10" xfId="0" applyNumberFormat="1" applyFont="1" applyFill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165" fontId="22" fillId="5" borderId="15" xfId="0" applyNumberFormat="1" applyFont="1" applyFill="1" applyBorder="1" applyAlignment="1">
      <alignment horizontal="center" vertical="center" wrapText="1"/>
    </xf>
    <xf numFmtId="165" fontId="22" fillId="5" borderId="16" xfId="0" applyNumberFormat="1" applyFont="1" applyFill="1" applyBorder="1" applyAlignment="1">
      <alignment horizontal="center" vertical="center" wrapText="1"/>
    </xf>
    <xf numFmtId="0" fontId="22" fillId="5" borderId="15" xfId="0" applyFont="1" applyFill="1" applyBorder="1" applyAlignment="1">
      <alignment horizontal="left" vertical="center" wrapText="1"/>
    </xf>
    <xf numFmtId="0" fontId="22" fillId="5" borderId="16" xfId="0" applyFont="1" applyFill="1" applyBorder="1" applyAlignment="1">
      <alignment horizontal="left" vertical="center" wrapText="1"/>
    </xf>
    <xf numFmtId="0" fontId="10" fillId="3" borderId="8" xfId="0" applyFont="1" applyFill="1" applyBorder="1" applyAlignment="1">
      <alignment horizontal="center" vertical="center" wrapText="1"/>
    </xf>
    <xf numFmtId="0" fontId="10" fillId="3" borderId="9" xfId="0" applyFont="1" applyFill="1" applyBorder="1" applyAlignment="1">
      <alignment horizontal="center" vertical="center" wrapText="1"/>
    </xf>
    <xf numFmtId="0" fontId="10" fillId="3" borderId="10" xfId="0" applyFont="1" applyFill="1" applyBorder="1" applyAlignment="1">
      <alignment horizontal="center" vertical="center" wrapText="1"/>
    </xf>
    <xf numFmtId="0" fontId="23" fillId="5" borderId="15" xfId="0" applyFont="1" applyFill="1" applyBorder="1" applyAlignment="1">
      <alignment horizontal="center" vertical="center"/>
    </xf>
    <xf numFmtId="0" fontId="23" fillId="5" borderId="3" xfId="0" applyFont="1" applyFill="1" applyBorder="1" applyAlignment="1">
      <alignment horizontal="center" vertical="center"/>
    </xf>
    <xf numFmtId="0" fontId="23" fillId="5" borderId="16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 wrapText="1"/>
    </xf>
    <xf numFmtId="0" fontId="10" fillId="3" borderId="19" xfId="0" applyFont="1" applyFill="1" applyBorder="1" applyAlignment="1">
      <alignment horizontal="center" vertical="center" wrapText="1"/>
    </xf>
  </cellXfs>
  <cellStyles count="1">
    <cellStyle name="Normal" xfId="0" builtinId="0"/>
  </cellStyles>
  <dxfs count="6">
    <dxf>
      <fill>
        <patternFill>
          <bgColor theme="4" tint="0.59996337778862885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ont>
        <color rgb="FFFF0000"/>
      </font>
      <fill>
        <patternFill>
          <bgColor rgb="FFFFC0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3381375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W50"/>
  <sheetViews>
    <sheetView showGridLines="0" zoomScaleNormal="100" workbookViewId="0">
      <pane ySplit="9" topLeftCell="A10" activePane="bottomLeft" state="frozen"/>
      <selection pane="bottomLeft" activeCell="B6" sqref="B6:D6"/>
    </sheetView>
  </sheetViews>
  <sheetFormatPr defaultRowHeight="15.75" x14ac:dyDescent="0.25"/>
  <cols>
    <col min="1" max="1" width="15.7109375" style="6" customWidth="1"/>
    <col min="2" max="2" width="20.7109375" style="6" customWidth="1"/>
    <col min="3" max="3" width="50.85546875" style="6" customWidth="1"/>
    <col min="4" max="4" width="35.7109375" style="6" customWidth="1"/>
    <col min="5" max="20" width="9.140625" style="1"/>
    <col min="21" max="21" width="6" style="2" bestFit="1" customWidth="1"/>
    <col min="22" max="22" width="22.85546875" style="2" bestFit="1" customWidth="1"/>
    <col min="23" max="23" width="29.140625" style="2" bestFit="1" customWidth="1"/>
    <col min="24" max="16384" width="9.140625" style="1"/>
  </cols>
  <sheetData>
    <row r="1" spans="1:23" s="4" customFormat="1" ht="21" x14ac:dyDescent="0.25">
      <c r="A1" s="47" t="s">
        <v>0</v>
      </c>
      <c r="B1" s="47"/>
      <c r="C1" s="47"/>
      <c r="D1" s="47"/>
      <c r="E1" s="3"/>
      <c r="F1" s="3"/>
      <c r="G1" s="3"/>
      <c r="H1" s="3"/>
    </row>
    <row r="2" spans="1:23" s="4" customFormat="1" ht="9.75" customHeight="1" thickBot="1" x14ac:dyDescent="0.3">
      <c r="A2" s="55" t="s">
        <v>1</v>
      </c>
      <c r="B2" s="55"/>
      <c r="C2" s="55"/>
      <c r="D2" s="20" t="s">
        <v>2</v>
      </c>
    </row>
    <row r="3" spans="1:23" ht="20.25" thickBot="1" x14ac:dyDescent="0.3">
      <c r="A3" s="48" t="s">
        <v>3</v>
      </c>
      <c r="B3" s="49"/>
      <c r="C3" s="49"/>
      <c r="D3" s="50"/>
    </row>
    <row r="4" spans="1:23" ht="15" x14ac:dyDescent="0.25">
      <c r="A4" s="18" t="s">
        <v>4</v>
      </c>
      <c r="B4" s="51" t="s">
        <v>59</v>
      </c>
      <c r="C4" s="52"/>
      <c r="D4" s="53"/>
    </row>
    <row r="5" spans="1:23" ht="15" x14ac:dyDescent="0.25">
      <c r="A5" s="19" t="s">
        <v>5</v>
      </c>
      <c r="B5" s="40" t="s">
        <v>6</v>
      </c>
      <c r="C5" s="41"/>
      <c r="D5" s="42"/>
    </row>
    <row r="6" spans="1:23" ht="13.5" x14ac:dyDescent="0.25">
      <c r="A6" s="19" t="s">
        <v>7</v>
      </c>
      <c r="B6" s="56" t="s">
        <v>8</v>
      </c>
      <c r="C6" s="57"/>
      <c r="D6" s="58"/>
    </row>
    <row r="7" spans="1:23" ht="30.75" customHeight="1" x14ac:dyDescent="0.25">
      <c r="A7" s="19" t="s">
        <v>9</v>
      </c>
      <c r="B7" s="40" t="s">
        <v>76</v>
      </c>
      <c r="C7" s="41"/>
      <c r="D7" s="42"/>
    </row>
    <row r="8" spans="1:23" ht="15" x14ac:dyDescent="0.25">
      <c r="A8" s="19" t="s">
        <v>10</v>
      </c>
      <c r="B8" s="40" t="s">
        <v>76</v>
      </c>
      <c r="C8" s="41"/>
      <c r="D8" s="42"/>
    </row>
    <row r="9" spans="1:23" ht="15" x14ac:dyDescent="0.25">
      <c r="A9" s="19" t="s">
        <v>11</v>
      </c>
      <c r="B9" s="40" t="s">
        <v>59</v>
      </c>
      <c r="C9" s="41"/>
      <c r="D9" s="42"/>
    </row>
    <row r="10" spans="1:23" ht="15" x14ac:dyDescent="0.25">
      <c r="A10" s="19" t="s">
        <v>13</v>
      </c>
      <c r="B10" s="24" t="s">
        <v>14</v>
      </c>
      <c r="C10"/>
      <c r="D10"/>
    </row>
    <row r="11" spans="1:23" ht="16.5" thickBot="1" x14ac:dyDescent="0.3">
      <c r="A11" s="54"/>
      <c r="B11" s="54"/>
      <c r="C11" s="54"/>
      <c r="D11" s="54"/>
    </row>
    <row r="12" spans="1:23" ht="20.25" thickBot="1" x14ac:dyDescent="0.3">
      <c r="A12" s="48" t="s">
        <v>15</v>
      </c>
      <c r="B12" s="49"/>
      <c r="C12" s="49"/>
      <c r="D12" s="50"/>
    </row>
    <row r="13" spans="1:23" x14ac:dyDescent="0.25">
      <c r="A13" s="45" t="s">
        <v>16</v>
      </c>
      <c r="B13" s="45"/>
      <c r="C13" s="5" t="s">
        <v>17</v>
      </c>
      <c r="D13" s="5" t="s">
        <v>18</v>
      </c>
    </row>
    <row r="14" spans="1:23" s="21" customFormat="1" ht="56.1" customHeight="1" x14ac:dyDescent="0.25">
      <c r="A14" s="46" t="s">
        <v>19</v>
      </c>
      <c r="B14" s="46"/>
      <c r="C14" s="37" t="s">
        <v>20</v>
      </c>
      <c r="D14" s="26" t="s">
        <v>21</v>
      </c>
      <c r="U14" s="22"/>
      <c r="V14" s="22"/>
      <c r="W14" s="22"/>
    </row>
    <row r="15" spans="1:23" s="21" customFormat="1" ht="56.1" customHeight="1" x14ac:dyDescent="0.25">
      <c r="A15" s="43" t="s">
        <v>19</v>
      </c>
      <c r="B15" s="44"/>
      <c r="C15" s="23" t="s">
        <v>22</v>
      </c>
      <c r="D15" s="26" t="s">
        <v>23</v>
      </c>
      <c r="U15" s="22"/>
      <c r="V15" s="22"/>
      <c r="W15" s="22"/>
    </row>
    <row r="16" spans="1:23" ht="27" x14ac:dyDescent="0.25">
      <c r="A16" s="43" t="s">
        <v>24</v>
      </c>
      <c r="B16" s="44"/>
      <c r="C16" s="27" t="s">
        <v>25</v>
      </c>
      <c r="D16" s="26" t="s">
        <v>26</v>
      </c>
    </row>
    <row r="17" spans="1:2" x14ac:dyDescent="0.25">
      <c r="A17" s="39"/>
      <c r="B17" s="39"/>
    </row>
    <row r="18" spans="1:2" x14ac:dyDescent="0.25">
      <c r="A18" s="39"/>
      <c r="B18" s="39"/>
    </row>
    <row r="19" spans="1:2" x14ac:dyDescent="0.25">
      <c r="A19" s="39"/>
      <c r="B19" s="39"/>
    </row>
    <row r="20" spans="1:2" x14ac:dyDescent="0.25">
      <c r="A20" s="39"/>
      <c r="B20" s="39"/>
    </row>
    <row r="21" spans="1:2" x14ac:dyDescent="0.25">
      <c r="A21" s="39"/>
      <c r="B21" s="39"/>
    </row>
    <row r="22" spans="1:2" x14ac:dyDescent="0.25">
      <c r="A22" s="39"/>
      <c r="B22" s="39"/>
    </row>
    <row r="23" spans="1:2" x14ac:dyDescent="0.25">
      <c r="A23" s="39"/>
      <c r="B23" s="39"/>
    </row>
    <row r="24" spans="1:2" x14ac:dyDescent="0.25">
      <c r="A24" s="39"/>
      <c r="B24" s="39"/>
    </row>
    <row r="25" spans="1:2" x14ac:dyDescent="0.25">
      <c r="A25" s="39"/>
      <c r="B25" s="39"/>
    </row>
    <row r="26" spans="1:2" x14ac:dyDescent="0.25">
      <c r="A26" s="39"/>
      <c r="B26" s="39"/>
    </row>
    <row r="27" spans="1:2" x14ac:dyDescent="0.25">
      <c r="A27" s="39"/>
      <c r="B27" s="39"/>
    </row>
    <row r="28" spans="1:2" x14ac:dyDescent="0.25">
      <c r="A28" s="39"/>
      <c r="B28" s="39"/>
    </row>
    <row r="29" spans="1:2" x14ac:dyDescent="0.25">
      <c r="A29" s="39"/>
      <c r="B29" s="39"/>
    </row>
    <row r="30" spans="1:2" x14ac:dyDescent="0.25">
      <c r="A30" s="39"/>
      <c r="B30" s="39"/>
    </row>
    <row r="31" spans="1:2" x14ac:dyDescent="0.25">
      <c r="A31" s="39"/>
      <c r="B31" s="39"/>
    </row>
    <row r="32" spans="1:2" x14ac:dyDescent="0.25">
      <c r="A32" s="39"/>
      <c r="B32" s="39"/>
    </row>
    <row r="33" spans="1:2" x14ac:dyDescent="0.25">
      <c r="A33" s="39"/>
      <c r="B33" s="39"/>
    </row>
    <row r="34" spans="1:2" x14ac:dyDescent="0.25">
      <c r="A34" s="39"/>
      <c r="B34" s="39"/>
    </row>
    <row r="35" spans="1:2" x14ac:dyDescent="0.25">
      <c r="A35" s="39"/>
      <c r="B35" s="39"/>
    </row>
    <row r="36" spans="1:2" x14ac:dyDescent="0.25">
      <c r="A36" s="39"/>
      <c r="B36" s="39"/>
    </row>
    <row r="37" spans="1:2" x14ac:dyDescent="0.25">
      <c r="A37" s="39"/>
      <c r="B37" s="39"/>
    </row>
    <row r="38" spans="1:2" x14ac:dyDescent="0.25">
      <c r="A38" s="39"/>
      <c r="B38" s="39"/>
    </row>
    <row r="39" spans="1:2" x14ac:dyDescent="0.25">
      <c r="A39" s="39"/>
      <c r="B39" s="39"/>
    </row>
    <row r="40" spans="1:2" x14ac:dyDescent="0.25">
      <c r="A40" s="39"/>
      <c r="B40" s="39"/>
    </row>
    <row r="41" spans="1:2" x14ac:dyDescent="0.25">
      <c r="A41" s="39"/>
      <c r="B41" s="39"/>
    </row>
    <row r="42" spans="1:2" x14ac:dyDescent="0.25">
      <c r="A42" s="39"/>
      <c r="B42" s="39"/>
    </row>
    <row r="43" spans="1:2" x14ac:dyDescent="0.25">
      <c r="A43" s="39"/>
      <c r="B43" s="39"/>
    </row>
    <row r="44" spans="1:2" x14ac:dyDescent="0.25">
      <c r="A44" s="39"/>
      <c r="B44" s="39"/>
    </row>
    <row r="45" spans="1:2" x14ac:dyDescent="0.25">
      <c r="A45" s="39"/>
      <c r="B45" s="39"/>
    </row>
    <row r="46" spans="1:2" x14ac:dyDescent="0.25">
      <c r="A46" s="39"/>
      <c r="B46" s="39"/>
    </row>
    <row r="47" spans="1:2" x14ac:dyDescent="0.25">
      <c r="A47" s="39"/>
      <c r="B47" s="39"/>
    </row>
    <row r="48" spans="1:2" x14ac:dyDescent="0.25">
      <c r="A48" s="39"/>
      <c r="B48" s="39"/>
    </row>
    <row r="49" spans="1:2" x14ac:dyDescent="0.25">
      <c r="A49" s="39"/>
      <c r="B49" s="39"/>
    </row>
    <row r="50" spans="1:2" x14ac:dyDescent="0.25">
      <c r="A50" s="39"/>
      <c r="B50" s="39"/>
    </row>
  </sheetData>
  <dataConsolidate/>
  <mergeCells count="49">
    <mergeCell ref="A1:D1"/>
    <mergeCell ref="A3:D3"/>
    <mergeCell ref="A12:D12"/>
    <mergeCell ref="B4:D4"/>
    <mergeCell ref="B5:D5"/>
    <mergeCell ref="B7:D7"/>
    <mergeCell ref="A11:D11"/>
    <mergeCell ref="A2:C2"/>
    <mergeCell ref="B6:D6"/>
    <mergeCell ref="B8:D8"/>
    <mergeCell ref="A19:B19"/>
    <mergeCell ref="B9:D9"/>
    <mergeCell ref="A16:B16"/>
    <mergeCell ref="A13:B13"/>
    <mergeCell ref="A14:B14"/>
    <mergeCell ref="A15:B15"/>
    <mergeCell ref="A18:B18"/>
    <mergeCell ref="A17:B17"/>
    <mergeCell ref="A50:B50"/>
    <mergeCell ref="A44:B44"/>
    <mergeCell ref="A45:B45"/>
    <mergeCell ref="A46:B46"/>
    <mergeCell ref="A47:B47"/>
    <mergeCell ref="A48:B48"/>
    <mergeCell ref="A49:B49"/>
    <mergeCell ref="A20:B20"/>
    <mergeCell ref="A21:B21"/>
    <mergeCell ref="A30:B30"/>
    <mergeCell ref="A32:B32"/>
    <mergeCell ref="A41:B41"/>
    <mergeCell ref="A40:B40"/>
    <mergeCell ref="A31:B31"/>
    <mergeCell ref="A28:B28"/>
    <mergeCell ref="A25:B25"/>
    <mergeCell ref="A24:B24"/>
    <mergeCell ref="A38:B38"/>
    <mergeCell ref="A29:B29"/>
    <mergeCell ref="A37:B37"/>
    <mergeCell ref="A33:B33"/>
    <mergeCell ref="A26:B26"/>
    <mergeCell ref="A42:B42"/>
    <mergeCell ref="A43:B43"/>
    <mergeCell ref="A23:B23"/>
    <mergeCell ref="A22:B22"/>
    <mergeCell ref="A27:B27"/>
    <mergeCell ref="A39:B39"/>
    <mergeCell ref="A34:B34"/>
    <mergeCell ref="A35:B35"/>
    <mergeCell ref="A36:B36"/>
  </mergeCells>
  <phoneticPr fontId="2" type="noConversion"/>
  <conditionalFormatting sqref="B6">
    <cfRule type="containsText" dxfId="5" priority="11" stopIfTrue="1" operator="containsText" text="Alta">
      <formula>NOT(ISERROR(SEARCH("Alta",B6)))</formula>
    </cfRule>
    <cfRule type="containsText" dxfId="4" priority="12" stopIfTrue="1" operator="containsText" text="Media">
      <formula>NOT(ISERROR(SEARCH("Media",B6)))</formula>
    </cfRule>
    <cfRule type="containsText" dxfId="3" priority="13" stopIfTrue="1" operator="containsText" text="Baixa">
      <formula>NOT(ISERROR(SEARCH("Baixa",B6)))</formula>
    </cfRule>
  </conditionalFormatting>
  <dataValidations count="3">
    <dataValidation type="list" allowBlank="1" showInputMessage="1" showErrorMessage="1" promptTitle="Severidade da implantação" sqref="B6:D6" xr:uid="{00000000-0002-0000-0000-000000000000}">
      <formula1>SEVERIDADE</formula1>
    </dataValidation>
    <dataValidation type="list" allowBlank="1" showInputMessage="1" showErrorMessage="1" sqref="B9:D9" xr:uid="{00000000-0002-0000-0000-000001000000}">
      <formula1>TIPO_DEMANDA</formula1>
    </dataValidation>
    <dataValidation type="list" allowBlank="1" showInputMessage="1" showErrorMessage="1" sqref="D14:D16" xr:uid="{00000000-0002-0000-0000-000002000000}">
      <formula1>RESPONSABILIDADE</formula1>
    </dataValidation>
  </dataValidations>
  <pageMargins left="0.511811024" right="0.511811024" top="0.78740157499999996" bottom="0.78740157499999996" header="0.31496062000000002" footer="0.3149606200000000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alidarCaminhos">
                <anchor moveWithCells="1" sizeWithCells="1">
                  <from>
                    <xdr:col>2</xdr:col>
                    <xdr:colOff>3381375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I31"/>
  <sheetViews>
    <sheetView showGridLines="0" tabSelected="1" zoomScale="81" zoomScaleNormal="81" zoomScaleSheetLayoutView="40" workbookViewId="0">
      <selection activeCell="E27" sqref="E27"/>
    </sheetView>
  </sheetViews>
  <sheetFormatPr defaultRowHeight="15.75" x14ac:dyDescent="0.25"/>
  <cols>
    <col min="1" max="1" width="16.42578125" style="15" customWidth="1"/>
    <col min="2" max="2" width="5.5703125" style="15" bestFit="1" customWidth="1"/>
    <col min="3" max="3" width="7.42578125" style="15" bestFit="1" customWidth="1"/>
    <col min="4" max="4" width="26.140625" style="15" customWidth="1"/>
    <col min="5" max="5" width="93.42578125" style="15" bestFit="1" customWidth="1"/>
    <col min="6" max="6" width="16" style="16" customWidth="1"/>
    <col min="7" max="7" width="26.5703125" style="17" bestFit="1" customWidth="1"/>
    <col min="8" max="16384" width="9.140625" style="4"/>
  </cols>
  <sheetData>
    <row r="1" spans="1:7" ht="21" x14ac:dyDescent="0.25">
      <c r="A1" s="47" t="s">
        <v>27</v>
      </c>
      <c r="B1" s="47"/>
      <c r="C1" s="47"/>
      <c r="D1" s="47"/>
      <c r="E1" s="47"/>
      <c r="F1" s="47"/>
      <c r="G1" s="47"/>
    </row>
    <row r="2" spans="1:7" ht="9.75" customHeight="1" thickBot="1" x14ac:dyDescent="0.3">
      <c r="A2" s="55" t="s">
        <v>1</v>
      </c>
      <c r="B2" s="55"/>
      <c r="C2" s="55"/>
      <c r="D2" s="55"/>
      <c r="E2" s="55"/>
      <c r="F2" s="55"/>
      <c r="G2" s="20" t="s">
        <v>2</v>
      </c>
    </row>
    <row r="3" spans="1:7" ht="20.25" thickBot="1" x14ac:dyDescent="0.3">
      <c r="A3" s="48" t="s">
        <v>3</v>
      </c>
      <c r="B3" s="49"/>
      <c r="C3" s="49"/>
      <c r="D3" s="49"/>
      <c r="E3" s="49"/>
      <c r="F3" s="49"/>
      <c r="G3" s="50"/>
    </row>
    <row r="4" spans="1:7" ht="13.5" x14ac:dyDescent="0.25">
      <c r="A4" s="18" t="s">
        <v>4</v>
      </c>
      <c r="B4" s="60" t="str">
        <f>'Matriz de Responsabilidade'!B4:D4</f>
        <v>Instalação de nova funcionalidade</v>
      </c>
      <c r="C4" s="60"/>
      <c r="D4" s="60"/>
      <c r="E4" s="60"/>
      <c r="F4" s="60"/>
      <c r="G4" s="60"/>
    </row>
    <row r="5" spans="1:7" ht="13.5" x14ac:dyDescent="0.25">
      <c r="A5" s="19" t="s">
        <v>5</v>
      </c>
      <c r="B5" s="61" t="str">
        <f>'Matriz de Responsabilidade'!B5:D5</f>
        <v>Executavel</v>
      </c>
      <c r="C5" s="61"/>
      <c r="D5" s="61"/>
      <c r="E5" s="61"/>
      <c r="F5" s="61"/>
      <c r="G5" s="61"/>
    </row>
    <row r="6" spans="1:7" s="1" customFormat="1" ht="13.5" x14ac:dyDescent="0.25">
      <c r="A6" s="19" t="s">
        <v>7</v>
      </c>
      <c r="B6" s="62" t="str">
        <f>'Matriz de Responsabilidade'!B6:D6</f>
        <v>Baixa</v>
      </c>
      <c r="C6" s="63"/>
      <c r="D6" s="63"/>
      <c r="E6" s="63"/>
      <c r="F6" s="63"/>
      <c r="G6" s="64"/>
    </row>
    <row r="7" spans="1:7" ht="13.5" x14ac:dyDescent="0.25">
      <c r="A7" s="19" t="s">
        <v>9</v>
      </c>
      <c r="B7" s="61" t="str">
        <f>'Matriz de Responsabilidade'!B7:D7</f>
        <v>Configuração da scheduler para relatório da Access</v>
      </c>
      <c r="C7" s="61"/>
      <c r="D7" s="61"/>
      <c r="E7" s="61"/>
      <c r="F7" s="61"/>
      <c r="G7" s="61"/>
    </row>
    <row r="8" spans="1:7" ht="13.5" x14ac:dyDescent="0.25">
      <c r="A8" s="19" t="s">
        <v>10</v>
      </c>
      <c r="B8" s="61" t="str">
        <f>'Matriz de Responsabilidade'!B8:D8</f>
        <v>Configuração da scheduler para relatório da Access</v>
      </c>
      <c r="C8" s="61"/>
      <c r="D8" s="61"/>
      <c r="E8" s="61"/>
      <c r="F8" s="61"/>
      <c r="G8" s="61"/>
    </row>
    <row r="9" spans="1:7" ht="13.5" x14ac:dyDescent="0.25">
      <c r="A9" s="19" t="s">
        <v>11</v>
      </c>
      <c r="B9" s="61" t="str">
        <f>'Matriz de Responsabilidade'!B9:D9</f>
        <v>Instalação de nova funcionalidade</v>
      </c>
      <c r="C9" s="61"/>
      <c r="D9" s="61"/>
      <c r="E9" s="61"/>
      <c r="F9" s="61"/>
      <c r="G9" s="61"/>
    </row>
    <row r="10" spans="1:7" ht="9.9499999999999993" customHeight="1" thickBot="1" x14ac:dyDescent="0.3">
      <c r="A10" s="59"/>
      <c r="B10" s="59"/>
      <c r="C10" s="59"/>
      <c r="D10" s="59"/>
      <c r="E10" s="59"/>
      <c r="F10" s="59"/>
      <c r="G10" s="59"/>
    </row>
    <row r="11" spans="1:7" ht="20.25" thickBot="1" x14ac:dyDescent="0.3">
      <c r="A11" s="73" t="s">
        <v>28</v>
      </c>
      <c r="B11" s="74"/>
      <c r="C11" s="74"/>
      <c r="D11" s="74"/>
      <c r="E11" s="74"/>
      <c r="F11" s="74"/>
      <c r="G11" s="75"/>
    </row>
    <row r="12" spans="1:7" s="1" customFormat="1" ht="13.5" x14ac:dyDescent="0.25">
      <c r="A12" s="67" t="s">
        <v>29</v>
      </c>
      <c r="B12" s="68"/>
      <c r="C12" s="68"/>
      <c r="D12" s="68"/>
      <c r="E12" s="68"/>
      <c r="F12" s="68"/>
      <c r="G12" s="69"/>
    </row>
    <row r="13" spans="1:7" ht="14.25" thickBot="1" x14ac:dyDescent="0.3">
      <c r="A13" s="70"/>
      <c r="B13" s="70"/>
      <c r="C13" s="70"/>
      <c r="D13" s="70"/>
      <c r="E13" s="70"/>
      <c r="F13" s="70"/>
      <c r="G13" s="70"/>
    </row>
    <row r="14" spans="1:7" ht="20.25" thickBot="1" x14ac:dyDescent="0.3">
      <c r="A14" s="48" t="s">
        <v>30</v>
      </c>
      <c r="B14" s="49"/>
      <c r="C14" s="49"/>
      <c r="D14" s="49"/>
      <c r="E14" s="49"/>
      <c r="F14" s="49"/>
      <c r="G14" s="50"/>
    </row>
    <row r="15" spans="1:7" ht="13.5" x14ac:dyDescent="0.25">
      <c r="A15" s="7" t="s">
        <v>31</v>
      </c>
      <c r="B15" s="7" t="s">
        <v>32</v>
      </c>
      <c r="C15" s="7" t="s">
        <v>33</v>
      </c>
      <c r="D15" s="71" t="s">
        <v>34</v>
      </c>
      <c r="E15" s="72"/>
      <c r="F15" s="7" t="s">
        <v>35</v>
      </c>
      <c r="G15" s="8" t="s">
        <v>36</v>
      </c>
    </row>
    <row r="16" spans="1:7" s="1" customFormat="1" ht="13.5" x14ac:dyDescent="0.25">
      <c r="A16" s="9"/>
      <c r="B16" s="10"/>
      <c r="C16" s="10"/>
      <c r="D16" s="65" t="s">
        <v>37</v>
      </c>
      <c r="E16" s="66"/>
      <c r="F16" s="11"/>
      <c r="G16" s="12"/>
    </row>
    <row r="17" spans="1:9" ht="9.9499999999999993" customHeight="1" thickBot="1" x14ac:dyDescent="0.3">
      <c r="A17" s="80"/>
      <c r="B17" s="80"/>
      <c r="C17" s="80"/>
      <c r="D17" s="80"/>
      <c r="E17" s="80"/>
      <c r="F17" s="80"/>
      <c r="G17" s="80"/>
    </row>
    <row r="18" spans="1:9" ht="20.25" thickBot="1" x14ac:dyDescent="0.3">
      <c r="A18" s="48" t="s">
        <v>38</v>
      </c>
      <c r="B18" s="49"/>
      <c r="C18" s="49"/>
      <c r="D18" s="49"/>
      <c r="E18" s="49"/>
      <c r="F18" s="49"/>
      <c r="G18" s="50"/>
    </row>
    <row r="19" spans="1:9" s="3" customFormat="1" ht="14.25" thickBot="1" x14ac:dyDescent="0.3">
      <c r="A19" s="7" t="s">
        <v>31</v>
      </c>
      <c r="B19" s="7" t="s">
        <v>32</v>
      </c>
      <c r="C19" s="7" t="s">
        <v>33</v>
      </c>
      <c r="D19" s="7" t="s">
        <v>39</v>
      </c>
      <c r="E19" s="7" t="s">
        <v>34</v>
      </c>
      <c r="F19" s="7" t="s">
        <v>35</v>
      </c>
      <c r="G19" s="8" t="s">
        <v>36</v>
      </c>
      <c r="I19" s="1"/>
    </row>
    <row r="20" spans="1:9" s="1" customFormat="1" ht="18" customHeight="1" x14ac:dyDescent="0.25">
      <c r="A20" s="94" t="s">
        <v>44</v>
      </c>
      <c r="B20" s="95"/>
      <c r="C20" s="95"/>
      <c r="D20" s="95"/>
      <c r="E20" s="95"/>
      <c r="F20" s="95"/>
      <c r="G20" s="96"/>
    </row>
    <row r="21" spans="1:9" s="1" customFormat="1" ht="42" customHeight="1" x14ac:dyDescent="0.25">
      <c r="A21" s="9">
        <v>45215</v>
      </c>
      <c r="B21" s="10">
        <v>0.91666666666666663</v>
      </c>
      <c r="C21" s="10">
        <v>6.9444444444444441E-3</v>
      </c>
      <c r="D21" s="13" t="s">
        <v>45</v>
      </c>
      <c r="E21" s="38" t="s">
        <v>78</v>
      </c>
      <c r="F21" s="12" t="s">
        <v>77</v>
      </c>
      <c r="G21" s="12" t="s">
        <v>19</v>
      </c>
    </row>
    <row r="22" spans="1:9" s="1" customFormat="1" ht="42" customHeight="1" x14ac:dyDescent="0.25">
      <c r="A22" s="9">
        <f>A21</f>
        <v>45215</v>
      </c>
      <c r="B22" s="10">
        <v>0.91666666666666663</v>
      </c>
      <c r="C22" s="10">
        <v>6.9444444444444441E-3</v>
      </c>
      <c r="D22" s="13" t="s">
        <v>45</v>
      </c>
      <c r="E22" s="38" t="s">
        <v>81</v>
      </c>
      <c r="F22" s="12" t="s">
        <v>77</v>
      </c>
      <c r="G22" s="12" t="s">
        <v>19</v>
      </c>
    </row>
    <row r="23" spans="1:9" s="1" customFormat="1" ht="42" customHeight="1" x14ac:dyDescent="0.25">
      <c r="A23" s="9">
        <f>A21</f>
        <v>45215</v>
      </c>
      <c r="B23" s="10">
        <v>0.91666666666666663</v>
      </c>
      <c r="C23" s="10">
        <v>6.9444444444444441E-3</v>
      </c>
      <c r="D23" s="13" t="s">
        <v>45</v>
      </c>
      <c r="E23" s="38" t="s">
        <v>80</v>
      </c>
      <c r="F23" s="12" t="s">
        <v>77</v>
      </c>
      <c r="G23" s="12" t="s">
        <v>19</v>
      </c>
    </row>
    <row r="24" spans="1:9" s="1" customFormat="1" ht="20.25" thickBot="1" x14ac:dyDescent="0.3">
      <c r="A24" s="91" t="s">
        <v>46</v>
      </c>
      <c r="B24" s="92"/>
      <c r="C24" s="92"/>
      <c r="D24" s="92"/>
      <c r="E24" s="92"/>
      <c r="F24" s="92"/>
      <c r="G24" s="93"/>
    </row>
    <row r="25" spans="1:9" s="1" customFormat="1" ht="17.25" thickBot="1" x14ac:dyDescent="0.3">
      <c r="A25" s="88" t="s">
        <v>47</v>
      </c>
      <c r="B25" s="89"/>
      <c r="C25" s="89"/>
      <c r="D25" s="89"/>
      <c r="E25" s="89"/>
      <c r="F25" s="89"/>
      <c r="G25" s="90"/>
    </row>
    <row r="26" spans="1:9" s="1" customFormat="1" ht="38.25" customHeight="1" x14ac:dyDescent="0.25">
      <c r="A26" s="7" t="s">
        <v>31</v>
      </c>
      <c r="B26" s="7" t="s">
        <v>32</v>
      </c>
      <c r="C26" s="7" t="s">
        <v>33</v>
      </c>
      <c r="D26" s="7" t="s">
        <v>39</v>
      </c>
      <c r="E26" s="25" t="s">
        <v>34</v>
      </c>
      <c r="F26" s="7" t="s">
        <v>35</v>
      </c>
      <c r="G26" s="8" t="s">
        <v>36</v>
      </c>
    </row>
    <row r="27" spans="1:9" s="1" customFormat="1" ht="42" customHeight="1" thickBot="1" x14ac:dyDescent="0.3">
      <c r="A27" s="9">
        <f>A21</f>
        <v>45215</v>
      </c>
      <c r="B27" s="10">
        <v>0.91666666666666663</v>
      </c>
      <c r="C27" s="10">
        <v>3.472222222222222E-3</v>
      </c>
      <c r="D27" s="13" t="s">
        <v>45</v>
      </c>
      <c r="E27" s="38" t="s">
        <v>79</v>
      </c>
      <c r="F27" s="12" t="s">
        <v>77</v>
      </c>
      <c r="G27" s="12" t="s">
        <v>19</v>
      </c>
    </row>
    <row r="28" spans="1:9" ht="20.25" thickBot="1" x14ac:dyDescent="0.3">
      <c r="A28" s="81" t="s">
        <v>50</v>
      </c>
      <c r="B28" s="82"/>
      <c r="C28" s="82"/>
      <c r="D28" s="82"/>
      <c r="E28" s="82"/>
      <c r="F28" s="82"/>
      <c r="G28" s="83"/>
    </row>
    <row r="29" spans="1:9" ht="17.25" thickBot="1" x14ac:dyDescent="0.3">
      <c r="A29" s="86" t="s">
        <v>51</v>
      </c>
      <c r="B29" s="87"/>
      <c r="C29" s="84">
        <f>SUM(C20:C21)</f>
        <v>6.9444444444444441E-3</v>
      </c>
      <c r="D29" s="85"/>
      <c r="E29" s="14"/>
      <c r="F29" s="14"/>
      <c r="G29" s="14"/>
    </row>
    <row r="30" spans="1:9" ht="17.25" thickBot="1" x14ac:dyDescent="0.3">
      <c r="A30" s="76" t="s">
        <v>52</v>
      </c>
      <c r="B30" s="77"/>
      <c r="C30" s="78">
        <f>SUM(C27:C27)</f>
        <v>3.472222222222222E-3</v>
      </c>
      <c r="D30" s="79"/>
      <c r="E30" s="14"/>
      <c r="F30" s="14"/>
      <c r="G30" s="14"/>
    </row>
    <row r="31" spans="1:9" ht="17.25" thickBot="1" x14ac:dyDescent="0.3">
      <c r="A31" s="76" t="s">
        <v>53</v>
      </c>
      <c r="B31" s="77"/>
      <c r="C31" s="78">
        <f>SUM(C29:D30)</f>
        <v>1.0416666666666666E-2</v>
      </c>
      <c r="D31" s="79"/>
    </row>
  </sheetData>
  <dataConsolidate/>
  <mergeCells count="28">
    <mergeCell ref="A31:B31"/>
    <mergeCell ref="C31:D31"/>
    <mergeCell ref="A17:G17"/>
    <mergeCell ref="A28:G28"/>
    <mergeCell ref="A30:B30"/>
    <mergeCell ref="C29:D29"/>
    <mergeCell ref="C30:D30"/>
    <mergeCell ref="A29:B29"/>
    <mergeCell ref="A25:G25"/>
    <mergeCell ref="A18:G18"/>
    <mergeCell ref="A24:G24"/>
    <mergeCell ref="A20:G20"/>
    <mergeCell ref="A14:G14"/>
    <mergeCell ref="D16:E16"/>
    <mergeCell ref="B7:G7"/>
    <mergeCell ref="B8:G8"/>
    <mergeCell ref="A12:G12"/>
    <mergeCell ref="A13:G13"/>
    <mergeCell ref="D15:E15"/>
    <mergeCell ref="A11:G11"/>
    <mergeCell ref="A1:G1"/>
    <mergeCell ref="A10:G10"/>
    <mergeCell ref="A3:G3"/>
    <mergeCell ref="B4:G4"/>
    <mergeCell ref="B5:G5"/>
    <mergeCell ref="A2:F2"/>
    <mergeCell ref="B6:G6"/>
    <mergeCell ref="B9:G9"/>
  </mergeCells>
  <phoneticPr fontId="2" type="noConversion"/>
  <conditionalFormatting sqref="B6:G6">
    <cfRule type="containsText" dxfId="2" priority="90" stopIfTrue="1" operator="containsText" text="Alta">
      <formula>NOT(ISERROR(SEARCH("Alta",B6)))</formula>
    </cfRule>
    <cfRule type="containsText" dxfId="1" priority="91" stopIfTrue="1" operator="containsText" text="Media">
      <formula>NOT(ISERROR(SEARCH("Media",B6)))</formula>
    </cfRule>
    <cfRule type="containsText" dxfId="0" priority="92" stopIfTrue="1" operator="containsText" text="Baixa">
      <formula>NOT(ISERROR(SEARCH("Baixa",B6)))</formula>
    </cfRule>
  </conditionalFormatting>
  <dataValidations count="2">
    <dataValidation type="list" allowBlank="1" showInputMessage="1" showErrorMessage="1" sqref="G27 G21:G23" xr:uid="{00000000-0002-0000-0100-000000000000}">
      <formula1>RESPONSAVEL</formula1>
    </dataValidation>
    <dataValidation type="list" allowBlank="1" showInputMessage="1" showErrorMessage="1" sqref="D27 D21:D23" xr:uid="{00000000-0002-0000-0100-000001000000}">
      <formula1>ACAO</formula1>
    </dataValidation>
  </dataValidations>
  <pageMargins left="0.511811024" right="0.511811024" top="0.78740157499999996" bottom="0.78740157499999996" header="0.31496062000000002" footer="0.31496062000000002"/>
  <pageSetup paperSize="9" scale="5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0" tint="-4.9989318521683403E-2"/>
  </sheetPr>
  <dimension ref="A1:E16"/>
  <sheetViews>
    <sheetView zoomScale="85" zoomScaleNormal="85" workbookViewId="0"/>
  </sheetViews>
  <sheetFormatPr defaultRowHeight="15" x14ac:dyDescent="0.25"/>
  <cols>
    <col min="1" max="1" width="22.85546875" bestFit="1" customWidth="1"/>
    <col min="2" max="2" width="25.85546875" bestFit="1" customWidth="1"/>
    <col min="3" max="3" width="29.140625" bestFit="1" customWidth="1"/>
    <col min="4" max="4" width="11.85546875" bestFit="1" customWidth="1"/>
    <col min="5" max="5" width="23.28515625" bestFit="1" customWidth="1"/>
  </cols>
  <sheetData>
    <row r="1" spans="1:5" x14ac:dyDescent="0.25">
      <c r="A1" s="33" t="s">
        <v>39</v>
      </c>
      <c r="B1" s="33" t="s">
        <v>36</v>
      </c>
      <c r="C1" s="33" t="s">
        <v>11</v>
      </c>
      <c r="D1" s="33" t="s">
        <v>7</v>
      </c>
      <c r="E1" s="33" t="s">
        <v>18</v>
      </c>
    </row>
    <row r="2" spans="1:5" x14ac:dyDescent="0.25">
      <c r="A2" s="28" t="s">
        <v>45</v>
      </c>
      <c r="B2" s="32" t="s">
        <v>19</v>
      </c>
      <c r="C2" s="31" t="s">
        <v>12</v>
      </c>
      <c r="D2" s="36" t="s">
        <v>54</v>
      </c>
      <c r="E2" s="29" t="s">
        <v>55</v>
      </c>
    </row>
    <row r="3" spans="1:5" x14ac:dyDescent="0.25">
      <c r="A3" s="28" t="s">
        <v>56</v>
      </c>
      <c r="B3" s="32" t="s">
        <v>41</v>
      </c>
      <c r="C3" s="31" t="s">
        <v>57</v>
      </c>
      <c r="D3" s="36" t="s">
        <v>8</v>
      </c>
      <c r="E3" s="29" t="s">
        <v>21</v>
      </c>
    </row>
    <row r="4" spans="1:5" x14ac:dyDescent="0.25">
      <c r="A4" s="28" t="s">
        <v>40</v>
      </c>
      <c r="B4" s="34" t="s">
        <v>58</v>
      </c>
      <c r="C4" s="31" t="s">
        <v>59</v>
      </c>
      <c r="D4" s="36" t="s">
        <v>60</v>
      </c>
      <c r="E4" s="29" t="s">
        <v>61</v>
      </c>
    </row>
    <row r="5" spans="1:5" x14ac:dyDescent="0.25">
      <c r="A5" s="28" t="s">
        <v>48</v>
      </c>
      <c r="B5" s="32" t="s">
        <v>62</v>
      </c>
      <c r="C5" s="31" t="s">
        <v>63</v>
      </c>
      <c r="D5" s="2"/>
      <c r="E5" s="29" t="s">
        <v>23</v>
      </c>
    </row>
    <row r="6" spans="1:5" x14ac:dyDescent="0.25">
      <c r="A6" s="28" t="s">
        <v>42</v>
      </c>
      <c r="B6" s="32" t="s">
        <v>64</v>
      </c>
      <c r="C6" s="4"/>
      <c r="D6" s="2"/>
      <c r="E6" s="29" t="s">
        <v>26</v>
      </c>
    </row>
    <row r="7" spans="1:5" x14ac:dyDescent="0.25">
      <c r="A7" s="28" t="s">
        <v>49</v>
      </c>
      <c r="B7" s="32" t="s">
        <v>65</v>
      </c>
      <c r="C7" s="1"/>
      <c r="D7" s="2"/>
      <c r="E7" s="29" t="s">
        <v>45</v>
      </c>
    </row>
    <row r="8" spans="1:5" x14ac:dyDescent="0.25">
      <c r="A8" s="28" t="s">
        <v>43</v>
      </c>
      <c r="B8" s="32" t="s">
        <v>66</v>
      </c>
      <c r="C8" s="4"/>
      <c r="D8" s="2"/>
      <c r="E8" s="29" t="s">
        <v>67</v>
      </c>
    </row>
    <row r="9" spans="1:5" x14ac:dyDescent="0.25">
      <c r="A9" s="35" t="s">
        <v>58</v>
      </c>
      <c r="B9" s="30" t="s">
        <v>68</v>
      </c>
      <c r="C9" s="4"/>
    </row>
    <row r="10" spans="1:5" x14ac:dyDescent="0.25">
      <c r="A10" s="28" t="s">
        <v>69</v>
      </c>
      <c r="B10" s="32" t="s">
        <v>70</v>
      </c>
      <c r="C10" s="4"/>
    </row>
    <row r="11" spans="1:5" x14ac:dyDescent="0.25">
      <c r="A11" s="28" t="s">
        <v>71</v>
      </c>
      <c r="B11" s="32" t="s">
        <v>72</v>
      </c>
      <c r="C11" s="4"/>
    </row>
    <row r="12" spans="1:5" x14ac:dyDescent="0.25">
      <c r="A12" s="28" t="s">
        <v>44</v>
      </c>
      <c r="B12" s="4"/>
      <c r="C12" s="4"/>
    </row>
    <row r="13" spans="1:5" x14ac:dyDescent="0.25">
      <c r="A13" s="28" t="s">
        <v>73</v>
      </c>
      <c r="B13" s="4"/>
      <c r="C13" s="1"/>
    </row>
    <row r="14" spans="1:5" x14ac:dyDescent="0.25">
      <c r="A14" s="28" t="s">
        <v>74</v>
      </c>
    </row>
    <row r="15" spans="1:5" x14ac:dyDescent="0.25">
      <c r="A15" s="28" t="s">
        <v>75</v>
      </c>
    </row>
    <row r="16" spans="1:5" x14ac:dyDescent="0.25">
      <c r="A16" s="28" t="s">
        <v>61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06a574d-fe41-43ed-88d7-6dfde3e0e9f3" xsi:nil="true"/>
    <lcf76f155ced4ddcb4097134ff3c332f xmlns="9489a87a-853e-4f3b-8c6f-e8d4309d2090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870DE7EBF6329418C242AE47EBB1246" ma:contentTypeVersion="15" ma:contentTypeDescription="Crie um novo documento." ma:contentTypeScope="" ma:versionID="b7b728800586e1b4167f996f5b51581b">
  <xsd:schema xmlns:xsd="http://www.w3.org/2001/XMLSchema" xmlns:xs="http://www.w3.org/2001/XMLSchema" xmlns:p="http://schemas.microsoft.com/office/2006/metadata/properties" xmlns:ns2="9489a87a-853e-4f3b-8c6f-e8d4309d2090" xmlns:ns3="c06a574d-fe41-43ed-88d7-6dfde3e0e9f3" targetNamespace="http://schemas.microsoft.com/office/2006/metadata/properties" ma:root="true" ma:fieldsID="7d2f104c9fe2fce7c57d169d47d674ed" ns2:_="" ns3:_="">
    <xsd:import namespace="9489a87a-853e-4f3b-8c6f-e8d4309d2090"/>
    <xsd:import namespace="c06a574d-fe41-43ed-88d7-6dfde3e0e9f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DateTaken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89a87a-853e-4f3b-8c6f-e8d4309d20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Marcações de imagem" ma:readOnly="false" ma:fieldId="{5cf76f15-5ced-4ddc-b409-7134ff3c332f}" ma:taxonomyMulti="true" ma:sspId="f3385082-945e-4353-a0dd-b4cda98bf51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6a574d-fe41-43ed-88d7-6dfde3e0e9f3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9fcdd371-5c44-481f-a926-1fe26e50363d}" ma:internalName="TaxCatchAll" ma:showField="CatchAllData" ma:web="c06a574d-fe41-43ed-88d7-6dfde3e0e9f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5E92B2E-2C9F-4F31-A149-991E33C2BD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6F68E2-85BB-49EF-A954-7C24BEC8617D}">
  <ds:schemaRefs>
    <ds:schemaRef ds:uri="http://schemas.microsoft.com/office/2006/metadata/properties"/>
    <ds:schemaRef ds:uri="http://schemas.microsoft.com/office/infopath/2007/PartnerControls"/>
    <ds:schemaRef ds:uri="c06a574d-fe41-43ed-88d7-6dfde3e0e9f3"/>
    <ds:schemaRef ds:uri="9489a87a-853e-4f3b-8c6f-e8d4309d2090"/>
  </ds:schemaRefs>
</ds:datastoreItem>
</file>

<file path=customXml/itemProps3.xml><?xml version="1.0" encoding="utf-8"?>
<ds:datastoreItem xmlns:ds="http://schemas.openxmlformats.org/officeDocument/2006/customXml" ds:itemID="{55FFDC59-A204-41DC-9EFE-DA4F947A22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489a87a-853e-4f3b-8c6f-e8d4309d2090"/>
    <ds:schemaRef ds:uri="c06a574d-fe41-43ed-88d7-6dfde3e0e9f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5</vt:i4>
      </vt:variant>
    </vt:vector>
  </HeadingPairs>
  <TitlesOfParts>
    <vt:vector size="8" baseType="lpstr">
      <vt:lpstr>Matriz de Responsabilidade</vt:lpstr>
      <vt:lpstr>Produção</vt:lpstr>
      <vt:lpstr>Domínios</vt:lpstr>
      <vt:lpstr>ACAO</vt:lpstr>
      <vt:lpstr>RESPONSABILIDADE</vt:lpstr>
      <vt:lpstr>RESPONSAVEL</vt:lpstr>
      <vt:lpstr>SEVERIDADE</vt:lpstr>
      <vt:lpstr>TIPO_DEMANDA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2006-09-25T12:47:36Z</dcterms:created>
  <dcterms:modified xsi:type="dcterms:W3CDTF">2023-10-06T18:55:35Z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CatchAll">
    <vt:lpwstr/>
  </property>
  <property fmtid="{D5CDD505-2E9C-101B-9397-08002B2CF9AE}" pid="3" name="lcf76f155ced4ddcb4097134ff3c332f">
    <vt:lpwstr/>
  </property>
  <property fmtid="{D5CDD505-2E9C-101B-9397-08002B2CF9AE}" pid="4" name="MediaServiceImageTags">
    <vt:lpwstr/>
  </property>
  <property fmtid="{D5CDD505-2E9C-101B-9397-08002B2CF9AE}" pid="5" name="ContentTypeId">
    <vt:lpwstr>0x010100F870DE7EBF6329418C242AE47EBB1246</vt:lpwstr>
  </property>
</Properties>
</file>